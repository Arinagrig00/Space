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9b6e94d350889309/Рабочий стол/Универ/Оцг/"/>
    </mc:Choice>
  </mc:AlternateContent>
  <xr:revisionPtr revIDLastSave="0" documentId="8_{ADC079F4-037A-463B-A61E-20BABD5B74C7}" xr6:coauthVersionLast="47" xr6:coauthVersionMax="47" xr10:uidLastSave="{00000000-0000-0000-0000-000000000000}"/>
  <bookViews>
    <workbookView xWindow="-108" yWindow="-108" windowWidth="23256" windowHeight="12336" xr2:uid="{D83023F8-5BEA-473F-BBD7-B8856D0D2295}"/>
  </bookViews>
  <sheets>
    <sheet name="Данные" sheetId="1" r:id="rId1"/>
    <sheet name="Таблицы" sheetId="2" r:id="rId2"/>
  </sheets>
  <calcPr calcId="191029" iterateDelta="1E-4"/>
</workbook>
</file>

<file path=xl/calcChain.xml><?xml version="1.0" encoding="utf-8"?>
<calcChain xmlns="http://schemas.openxmlformats.org/spreadsheetml/2006/main">
  <c r="H3" i="1" l="1"/>
  <c r="I3" i="1"/>
  <c r="J3" i="1" s="1"/>
  <c r="I8" i="1"/>
  <c r="J8" i="1" s="1"/>
  <c r="H8" i="1"/>
  <c r="I7" i="1"/>
  <c r="J7" i="1" s="1"/>
  <c r="H7" i="1"/>
  <c r="I6" i="1"/>
  <c r="J6" i="1" s="1"/>
  <c r="H6" i="1"/>
  <c r="I5" i="1"/>
  <c r="J5" i="1" s="1"/>
  <c r="H5" i="1"/>
  <c r="I4" i="1"/>
  <c r="J4" i="1" s="1"/>
  <c r="H4" i="1"/>
</calcChain>
</file>

<file path=xl/sharedStrings.xml><?xml version="1.0" encoding="utf-8"?>
<sst xmlns="http://schemas.openxmlformats.org/spreadsheetml/2006/main" count="37" uniqueCount="34">
  <si>
    <t>Фамилия Имя Отчество</t>
  </si>
  <si>
    <t>Город рождения</t>
  </si>
  <si>
    <t>Дата рождения</t>
  </si>
  <si>
    <t>Оценки по курсу</t>
  </si>
  <si>
    <t>Возраст</t>
  </si>
  <si>
    <t>Средний балл</t>
  </si>
  <si>
    <t>Информатика</t>
  </si>
  <si>
    <t>Линейная алгебра</t>
  </si>
  <si>
    <t>Культурология</t>
  </si>
  <si>
    <t>Психология</t>
  </si>
  <si>
    <t>Иванов Иван Иванович</t>
  </si>
  <si>
    <t>Санкт-Петербург</t>
  </si>
  <si>
    <t>20.09.2007</t>
  </si>
  <si>
    <t>Лапушкин Валерий Федорович</t>
  </si>
  <si>
    <t>15.08.2006</t>
  </si>
  <si>
    <t>Калиточкин Михаил Сергеевич</t>
  </si>
  <si>
    <t>Мурманск</t>
  </si>
  <si>
    <t>06.03.2004</t>
  </si>
  <si>
    <t>н/я</t>
  </si>
  <si>
    <t>Зинаев Дмитрий Алексеевич</t>
  </si>
  <si>
    <t>Архангельск</t>
  </si>
  <si>
    <t>24.12.2006</t>
  </si>
  <si>
    <t>Валюшин Роман Капитонович</t>
  </si>
  <si>
    <t>Калининград</t>
  </si>
  <si>
    <t>11.02.2007</t>
  </si>
  <si>
    <t>Завитушкин Владимир Ильич</t>
  </si>
  <si>
    <t>17.09.2006</t>
  </si>
  <si>
    <t>4-5</t>
  </si>
  <si>
    <t>&lt;4</t>
  </si>
  <si>
    <t>информатика</t>
  </si>
  <si>
    <t>линейная алгебра</t>
  </si>
  <si>
    <t>психология</t>
  </si>
  <si>
    <t>культурология</t>
  </si>
  <si>
    <t>Новая оценка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</si>
</sst>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0"/>
      <color theme="1"/>
      <name val="Liberation Sans"/>
      <family val="2"/>
      <charset val="204"/>
    </font>
    <font>
      <sz val="11"/>
      <color rgb="FF000000"/>
      <name val="Calibri"/>
      <family val="2"/>
      <charset val="204"/>
    </font>
    <font>
      <b/>
      <sz val="11"/>
      <color rgb="FF000000"/>
      <name val="Calibri"/>
      <family val="2"/>
      <charset val="204"/>
    </font>
    <font>
      <b/>
      <sz val="11"/>
      <color rgb="FFFFFFFF"/>
      <name val="Calibri"/>
      <family val="2"/>
      <charset val="204"/>
    </font>
    <font>
      <sz val="11"/>
      <color rgb="FFCC0000"/>
      <name val="Calibri"/>
      <family val="2"/>
      <charset val="204"/>
    </font>
    <font>
      <i/>
      <sz val="11"/>
      <color rgb="FF808080"/>
      <name val="Calibri"/>
      <family val="2"/>
      <charset val="204"/>
    </font>
    <font>
      <sz val="11"/>
      <color rgb="FF006600"/>
      <name val="Calibri"/>
      <family val="2"/>
      <charset val="204"/>
    </font>
    <font>
      <b/>
      <sz val="24"/>
      <color rgb="FF000000"/>
      <name val="Calibri"/>
      <family val="2"/>
      <charset val="204"/>
    </font>
    <font>
      <b/>
      <sz val="18"/>
      <color rgb="FF000000"/>
      <name val="Calibri"/>
      <family val="2"/>
      <charset val="204"/>
    </font>
    <font>
      <b/>
      <sz val="12"/>
      <color rgb="FF000000"/>
      <name val="Calibri"/>
      <family val="2"/>
      <charset val="204"/>
    </font>
    <font>
      <u/>
      <sz val="11"/>
      <color rgb="FF0000EE"/>
      <name val="Calibri"/>
      <family val="2"/>
      <charset val="204"/>
    </font>
    <font>
      <sz val="11"/>
      <color rgb="FF996600"/>
      <name val="Calibri"/>
      <family val="2"/>
      <charset val="204"/>
    </font>
    <font>
      <sz val="11"/>
      <color rgb="FF333333"/>
      <name val="Calibri"/>
      <family val="2"/>
      <charset val="204"/>
    </font>
    <font>
      <b/>
      <i/>
      <u/>
      <sz val="11"/>
      <color rgb="FF000000"/>
      <name val="Calibri"/>
      <family val="2"/>
      <charset val="204"/>
    </font>
    <font>
      <i/>
      <sz val="12"/>
      <color rgb="FF000000"/>
      <name val="Garamond"/>
      <family val="1"/>
      <charset val="204"/>
    </font>
    <font>
      <sz val="10"/>
      <color rgb="FF000000"/>
      <name val="Times New Roman"/>
      <family val="1"/>
      <charset val="204"/>
    </font>
  </fonts>
  <fills count="9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CC0000"/>
        <bgColor rgb="FFCC0000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rgb="FFFFFFCC"/>
      </patternFill>
    </fill>
  </fills>
  <borders count="3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008000"/>
      </left>
      <right style="thin">
        <color rgb="FF008000"/>
      </right>
      <top style="thin">
        <color rgb="FF008000"/>
      </top>
      <bottom style="thin">
        <color rgb="FF008000"/>
      </bottom>
      <diagonal/>
    </border>
  </borders>
  <cellStyleXfs count="20">
    <xf numFmtId="0" fontId="0" fillId="0" borderId="0"/>
    <xf numFmtId="0" fontId="2" fillId="0" borderId="0" applyNumberFormat="0" applyFill="0" applyBorder="0" applyProtection="0"/>
    <xf numFmtId="0" fontId="3" fillId="2" borderId="0" applyNumberFormat="0" applyBorder="0" applyProtection="0"/>
    <xf numFmtId="0" fontId="3" fillId="3" borderId="0" applyNumberFormat="0" applyBorder="0" applyProtection="0"/>
    <xf numFmtId="0" fontId="2" fillId="4" borderId="0" applyNumberFormat="0" applyBorder="0" applyProtection="0"/>
    <xf numFmtId="0" fontId="4" fillId="5" borderId="0" applyNumberFormat="0" applyBorder="0" applyProtection="0"/>
    <xf numFmtId="0" fontId="1" fillId="0" borderId="0" applyNumberFormat="0" applyFill="0" applyBorder="0" applyProtection="0"/>
    <xf numFmtId="0" fontId="3" fillId="6" borderId="0" applyNumberFormat="0" applyBorder="0" applyProtection="0"/>
    <xf numFmtId="0" fontId="5" fillId="0" borderId="0" applyNumberFormat="0" applyFill="0" applyBorder="0" applyProtection="0"/>
    <xf numFmtId="0" fontId="6" fillId="7" borderId="0" applyNumberFormat="0" applyBorder="0" applyProtection="0"/>
    <xf numFmtId="0" fontId="7" fillId="0" borderId="0" applyNumberFormat="0" applyFill="0" applyBorder="0" applyProtection="0"/>
    <xf numFmtId="0" fontId="8" fillId="0" borderId="0" applyNumberFormat="0" applyFill="0" applyBorder="0" applyProtection="0"/>
    <xf numFmtId="0" fontId="9" fillId="0" borderId="0" applyNumberFormat="0" applyFill="0" applyBorder="0" applyProtection="0"/>
    <xf numFmtId="0" fontId="10" fillId="0" borderId="0" applyNumberFormat="0" applyFill="0" applyBorder="0" applyProtection="0"/>
    <xf numFmtId="0" fontId="11" fillId="8" borderId="0" applyNumberFormat="0" applyBorder="0" applyProtection="0"/>
    <xf numFmtId="0" fontId="12" fillId="8" borderId="1" applyNumberFormat="0" applyProtection="0"/>
    <xf numFmtId="0" fontId="13" fillId="0" borderId="0" applyNumberFormat="0" applyFill="0" applyBorder="0" applyProtection="0"/>
    <xf numFmtId="0" fontId="1" fillId="0" borderId="0" applyNumberFormat="0" applyFill="0" applyBorder="0" applyProtection="0"/>
    <xf numFmtId="0" fontId="1" fillId="0" borderId="0" applyNumberFormat="0" applyFill="0" applyBorder="0" applyProtection="0"/>
    <xf numFmtId="0" fontId="4" fillId="0" borderId="0" applyNumberFormat="0" applyFill="0" applyBorder="0" applyProtection="0"/>
  </cellStyleXfs>
  <cellXfs count="5">
    <xf numFmtId="0" fontId="0" fillId="0" borderId="0" xfId="0"/>
    <xf numFmtId="0" fontId="14" fillId="0" borderId="2" xfId="6" applyFont="1" applyBorder="1" applyAlignment="1">
      <alignment horizontal="center" vertical="center" wrapText="1"/>
    </xf>
    <xf numFmtId="0" fontId="1" fillId="0" borderId="0" xfId="6"/>
    <xf numFmtId="0" fontId="15" fillId="0" borderId="2" xfId="6" applyFont="1" applyBorder="1" applyAlignment="1">
      <alignment horizontal="left"/>
    </xf>
    <xf numFmtId="0" fontId="14" fillId="0" borderId="2" xfId="6" applyFont="1" applyFill="1" applyBorder="1" applyAlignment="1">
      <alignment horizontal="center" vertical="center" wrapText="1"/>
    </xf>
  </cellXfs>
  <cellStyles count="20">
    <cellStyle name="Accent" xfId="1" xr:uid="{D93FD682-D4FE-478A-81AF-89BB13EB3DAF}"/>
    <cellStyle name="Accent 1" xfId="2" xr:uid="{93D66D8B-9B6C-4A79-9192-5A2F652F5BE5}"/>
    <cellStyle name="Accent 2" xfId="3" xr:uid="{FBD17E46-5FED-4C17-A793-D8A56A6A524A}"/>
    <cellStyle name="Accent 3" xfId="4" xr:uid="{6C737C3F-5295-46FC-999F-48D792A41118}"/>
    <cellStyle name="Bad" xfId="5" xr:uid="{24E19D8F-B6BA-4D1B-8F50-760943638ED8}"/>
    <cellStyle name="Default" xfId="6" xr:uid="{FB54AB4D-1C8E-49BE-8093-CCBD347D4AF4}"/>
    <cellStyle name="Error" xfId="7" xr:uid="{6345BC15-A56F-4A08-84A6-BD40D6ACAC42}"/>
    <cellStyle name="Footnote" xfId="8" xr:uid="{2321989A-4138-4692-9216-9D228E41DE0D}"/>
    <cellStyle name="Good" xfId="9" xr:uid="{85A8AE06-4E24-4ED0-9F17-543B3DDC1A1A}"/>
    <cellStyle name="Heading" xfId="10" xr:uid="{0ECD7267-0042-48D6-B7A4-4AAC1F8D676F}"/>
    <cellStyle name="Heading 1" xfId="11" xr:uid="{48A2E012-5D17-411B-BEB1-3E056608A599}"/>
    <cellStyle name="Heading 2" xfId="12" xr:uid="{9A31B552-5EFE-498F-8580-25ECFB03635A}"/>
    <cellStyle name="Hyperlink" xfId="13" xr:uid="{337E4FFA-0F65-433E-AE1D-6DF1BEC27273}"/>
    <cellStyle name="Neutral" xfId="14" xr:uid="{2E343C40-988A-4630-B0DE-B1A7552C795B}"/>
    <cellStyle name="Note" xfId="15" xr:uid="{F38A6C71-2B87-411E-AC89-A744B1E8F925}"/>
    <cellStyle name="Result" xfId="16" xr:uid="{8413B293-C74E-47EB-BFE4-04461A3E81E2}"/>
    <cellStyle name="Status" xfId="17" xr:uid="{447949D6-6F84-42D7-B779-EFDD6216F839}"/>
    <cellStyle name="Text" xfId="18" xr:uid="{7A0003FF-34AB-494F-8BED-F41BFE5BA7EA}"/>
    <cellStyle name="Warning" xfId="19" xr:uid="{A388D1AD-A584-48B0-8396-744A0F0BB90C}"/>
    <cellStyle name="Обычный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Распределение</a:t>
            </a:r>
            <a:r>
              <a:rPr lang="ru-RU" baseline="0"/>
              <a:t> среднего балла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64D-448C-87A9-921BED7CF3D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64D-448C-87A9-921BED7CF3D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64D-448C-87A9-921BED7CF3D4}"/>
              </c:ext>
            </c:extLst>
          </c:dPt>
          <c:cat>
            <c:strRef>
              <c:f>Данные!$M$8:$M$10</c:f>
              <c:strCache>
                <c:ptCount val="3"/>
                <c:pt idx="0">
                  <c:v>5</c:v>
                </c:pt>
                <c:pt idx="1">
                  <c:v>4-5</c:v>
                </c:pt>
                <c:pt idx="2">
                  <c:v>&lt;4</c:v>
                </c:pt>
              </c:strCache>
            </c:strRef>
          </c:cat>
          <c:val>
            <c:numRef>
              <c:f>Данные!$N$8:$N$10</c:f>
              <c:numCache>
                <c:formatCode>General</c:formatCode>
                <c:ptCount val="3"/>
                <c:pt idx="0">
                  <c:v>1</c:v>
                </c:pt>
                <c:pt idx="1">
                  <c:v>3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764D-448C-87A9-921BED7CF3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Средний</a:t>
            </a:r>
            <a:r>
              <a:rPr lang="ru-RU" baseline="0"/>
              <a:t> балл по предмету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Данные!$P$8:$P$11</c:f>
              <c:strCache>
                <c:ptCount val="4"/>
                <c:pt idx="0">
                  <c:v>информатика</c:v>
                </c:pt>
                <c:pt idx="1">
                  <c:v>линейная алгебра</c:v>
                </c:pt>
                <c:pt idx="2">
                  <c:v>культурология</c:v>
                </c:pt>
                <c:pt idx="3">
                  <c:v>психология</c:v>
                </c:pt>
              </c:strCache>
            </c:strRef>
          </c:cat>
          <c:val>
            <c:numRef>
              <c:f>Данные!$Q$8:$Q$11</c:f>
              <c:numCache>
                <c:formatCode>General</c:formatCode>
                <c:ptCount val="4"/>
                <c:pt idx="0">
                  <c:v>3.5</c:v>
                </c:pt>
                <c:pt idx="1">
                  <c:v>4</c:v>
                </c:pt>
                <c:pt idx="2">
                  <c:v>3.3333333330000001</c:v>
                </c:pt>
                <c:pt idx="3">
                  <c:v>4.3333333329999997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37-4B4D-BDD1-0A602C345E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34445280"/>
        <c:axId val="534445640"/>
      </c:barChart>
      <c:catAx>
        <c:axId val="5344452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34445640"/>
        <c:crosses val="autoZero"/>
        <c:auto val="1"/>
        <c:lblAlgn val="ctr"/>
        <c:lblOffset val="100"/>
        <c:noMultiLvlLbl val="0"/>
      </c:catAx>
      <c:valAx>
        <c:axId val="53444564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344452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83820</xdr:colOff>
      <xdr:row>0</xdr:row>
      <xdr:rowOff>15240</xdr:rowOff>
    </xdr:from>
    <xdr:to>
      <xdr:col>8</xdr:col>
      <xdr:colOff>571500</xdr:colOff>
      <xdr:row>22</xdr:row>
      <xdr:rowOff>7620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1667F262-98D8-4CF9-A6D4-80A5AAA2B2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586740</xdr:colOff>
      <xdr:row>0</xdr:row>
      <xdr:rowOff>15240</xdr:rowOff>
    </xdr:from>
    <xdr:to>
      <xdr:col>18</xdr:col>
      <xdr:colOff>114300</xdr:colOff>
      <xdr:row>21</xdr:row>
      <xdr:rowOff>152400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DE1A0725-113C-4BE5-B301-9E1EA16992F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FE155-1E09-4CA7-8AF5-1232FD63B45F}">
  <dimension ref="A1:Q11"/>
  <sheetViews>
    <sheetView tabSelected="1" workbookViewId="0">
      <selection activeCell="O17" sqref="O17"/>
    </sheetView>
  </sheetViews>
  <sheetFormatPr defaultColWidth="8.77734375" defaultRowHeight="13.2" x14ac:dyDescent="0.25"/>
  <cols>
    <col min="1" max="1" width="30.77734375" customWidth="1"/>
    <col min="2" max="2" width="18.44140625" customWidth="1"/>
    <col min="3" max="3" width="16.44140625" customWidth="1"/>
    <col min="4" max="7" width="29.77734375" customWidth="1"/>
    <col min="8" max="8" width="40.109375" customWidth="1"/>
    <col min="9" max="9" width="29.77734375" customWidth="1"/>
    <col min="10" max="10" width="27.77734375" customWidth="1"/>
    <col min="11" max="11" width="12.33203125" customWidth="1"/>
    <col min="12" max="15" width="8.77734375" customWidth="1"/>
    <col min="16" max="16" width="20.109375" customWidth="1"/>
    <col min="17" max="17" width="16.21875" customWidth="1"/>
  </cols>
  <sheetData>
    <row r="1" spans="1:17" s="2" customFormat="1" ht="15.6" x14ac:dyDescent="0.3">
      <c r="A1" s="4" t="s">
        <v>0</v>
      </c>
      <c r="B1" s="4" t="s">
        <v>1</v>
      </c>
      <c r="C1" s="4" t="s">
        <v>2</v>
      </c>
      <c r="D1" s="4" t="s">
        <v>3</v>
      </c>
      <c r="E1" s="4"/>
      <c r="F1" s="4"/>
      <c r="G1" s="4"/>
      <c r="H1" s="4" t="s">
        <v>4</v>
      </c>
      <c r="I1" s="4" t="s">
        <v>5</v>
      </c>
      <c r="J1" s="4" t="s">
        <v>33</v>
      </c>
    </row>
    <row r="2" spans="1:17" s="2" customFormat="1" ht="15.6" x14ac:dyDescent="0.3">
      <c r="A2" s="4"/>
      <c r="B2" s="4"/>
      <c r="C2" s="4"/>
      <c r="D2" s="1" t="s">
        <v>6</v>
      </c>
      <c r="E2" s="1" t="s">
        <v>7</v>
      </c>
      <c r="F2" s="1" t="s">
        <v>8</v>
      </c>
      <c r="G2" s="1" t="s">
        <v>9</v>
      </c>
      <c r="H2" s="4"/>
      <c r="I2" s="4"/>
      <c r="J2" s="4"/>
      <c r="K2" s="2">
        <v>2.4</v>
      </c>
    </row>
    <row r="3" spans="1:17" s="2" customFormat="1" ht="14.4" x14ac:dyDescent="0.3">
      <c r="A3" s="3" t="s">
        <v>10</v>
      </c>
      <c r="B3" s="3" t="s">
        <v>11</v>
      </c>
      <c r="C3" s="3" t="s">
        <v>12</v>
      </c>
      <c r="D3" s="3">
        <v>5</v>
      </c>
      <c r="E3" s="3">
        <v>3</v>
      </c>
      <c r="F3" s="3">
        <v>4</v>
      </c>
      <c r="G3" s="3">
        <v>4</v>
      </c>
      <c r="H3" s="3">
        <f t="shared" ref="H3:H8" ca="1" si="0">(YEAR(TODAY())-YEAR(DATEVALUE(C3)))</f>
        <v>19</v>
      </c>
      <c r="I3" s="3">
        <f t="shared" ref="I3:I8" si="1">AVERAGEIF(D3:G3, "&lt;&gt;н/я")</f>
        <v>4</v>
      </c>
      <c r="J3" s="3">
        <f t="shared" ref="J3:J8" si="2">I3*$K$2</f>
        <v>9.6</v>
      </c>
    </row>
    <row r="4" spans="1:17" s="2" customFormat="1" ht="14.4" x14ac:dyDescent="0.3">
      <c r="A4" s="3" t="s">
        <v>13</v>
      </c>
      <c r="B4" s="3" t="s">
        <v>11</v>
      </c>
      <c r="C4" s="3" t="s">
        <v>14</v>
      </c>
      <c r="D4" s="3">
        <v>4</v>
      </c>
      <c r="E4" s="3">
        <v>4</v>
      </c>
      <c r="F4" s="3">
        <v>4</v>
      </c>
      <c r="G4" s="3">
        <v>4</v>
      </c>
      <c r="H4" s="3">
        <f t="shared" ca="1" si="0"/>
        <v>20</v>
      </c>
      <c r="I4" s="3">
        <f t="shared" si="1"/>
        <v>4</v>
      </c>
      <c r="J4" s="3">
        <f t="shared" si="2"/>
        <v>9.6</v>
      </c>
    </row>
    <row r="5" spans="1:17" s="2" customFormat="1" ht="14.4" x14ac:dyDescent="0.3">
      <c r="A5" s="3" t="s">
        <v>15</v>
      </c>
      <c r="B5" s="3" t="s">
        <v>16</v>
      </c>
      <c r="C5" s="3" t="s">
        <v>17</v>
      </c>
      <c r="D5" s="3" t="s">
        <v>18</v>
      </c>
      <c r="E5" s="3">
        <v>3</v>
      </c>
      <c r="F5" s="3">
        <v>4</v>
      </c>
      <c r="G5" s="3">
        <v>4</v>
      </c>
      <c r="H5" s="3">
        <f t="shared" ca="1" si="0"/>
        <v>22</v>
      </c>
      <c r="I5" s="3">
        <f t="shared" si="1"/>
        <v>3.6666666666666665</v>
      </c>
      <c r="J5" s="3">
        <f t="shared" si="2"/>
        <v>8.7999999999999989</v>
      </c>
    </row>
    <row r="6" spans="1:17" s="2" customFormat="1" ht="14.4" x14ac:dyDescent="0.3">
      <c r="A6" s="3" t="s">
        <v>19</v>
      </c>
      <c r="B6" s="3" t="s">
        <v>20</v>
      </c>
      <c r="C6" s="3" t="s">
        <v>21</v>
      </c>
      <c r="D6" s="3">
        <v>5</v>
      </c>
      <c r="E6" s="3">
        <v>5</v>
      </c>
      <c r="F6" s="3">
        <v>5</v>
      </c>
      <c r="G6" s="3">
        <v>5</v>
      </c>
      <c r="H6" s="3">
        <f t="shared" ca="1" si="0"/>
        <v>20</v>
      </c>
      <c r="I6" s="3">
        <f t="shared" si="1"/>
        <v>5</v>
      </c>
      <c r="J6" s="3">
        <f t="shared" si="2"/>
        <v>12</v>
      </c>
    </row>
    <row r="7" spans="1:17" s="2" customFormat="1" ht="14.4" x14ac:dyDescent="0.3">
      <c r="A7" s="3" t="s">
        <v>22</v>
      </c>
      <c r="B7" s="3" t="s">
        <v>23</v>
      </c>
      <c r="C7" s="3" t="s">
        <v>24</v>
      </c>
      <c r="D7" s="3">
        <v>3</v>
      </c>
      <c r="E7" s="3" t="s">
        <v>18</v>
      </c>
      <c r="F7" s="3">
        <v>4</v>
      </c>
      <c r="G7" s="3">
        <v>4</v>
      </c>
      <c r="H7" s="3">
        <f t="shared" ca="1" si="0"/>
        <v>19</v>
      </c>
      <c r="I7" s="3">
        <f t="shared" si="1"/>
        <v>3.6666666666666665</v>
      </c>
      <c r="J7" s="3">
        <f t="shared" si="2"/>
        <v>8.7999999999999989</v>
      </c>
    </row>
    <row r="8" spans="1:17" s="2" customFormat="1" ht="14.4" x14ac:dyDescent="0.3">
      <c r="A8" s="3" t="s">
        <v>25</v>
      </c>
      <c r="B8" s="3" t="s">
        <v>11</v>
      </c>
      <c r="C8" s="3" t="s">
        <v>26</v>
      </c>
      <c r="D8" s="3">
        <v>4</v>
      </c>
      <c r="E8" s="3">
        <v>5</v>
      </c>
      <c r="F8" s="3">
        <v>3</v>
      </c>
      <c r="G8" s="3">
        <v>5</v>
      </c>
      <c r="H8" s="3">
        <f t="shared" ca="1" si="0"/>
        <v>20</v>
      </c>
      <c r="I8" s="3">
        <f t="shared" si="1"/>
        <v>4.25</v>
      </c>
      <c r="J8" s="3">
        <f t="shared" si="2"/>
        <v>10.199999999999999</v>
      </c>
      <c r="M8" s="2">
        <v>5</v>
      </c>
      <c r="N8" s="2">
        <v>1</v>
      </c>
      <c r="P8" s="2" t="s">
        <v>29</v>
      </c>
      <c r="Q8" s="2">
        <v>3.5</v>
      </c>
    </row>
    <row r="9" spans="1:17" s="2" customFormat="1" ht="14.4" x14ac:dyDescent="0.3">
      <c r="M9" s="2" t="s">
        <v>27</v>
      </c>
      <c r="N9" s="2">
        <v>3</v>
      </c>
      <c r="P9" s="2" t="s">
        <v>30</v>
      </c>
      <c r="Q9" s="2">
        <v>4</v>
      </c>
    </row>
    <row r="10" spans="1:17" s="2" customFormat="1" ht="14.4" x14ac:dyDescent="0.3">
      <c r="M10" s="2" t="s">
        <v>28</v>
      </c>
      <c r="N10" s="2">
        <v>2</v>
      </c>
      <c r="P10" s="2" t="s">
        <v>32</v>
      </c>
      <c r="Q10" s="2">
        <v>3.3333333330000001</v>
      </c>
    </row>
    <row r="11" spans="1:17" s="2" customFormat="1" ht="14.4" x14ac:dyDescent="0.3">
      <c r="P11" s="2" t="s">
        <v>31</v>
      </c>
      <c r="Q11" s="2">
        <v>4.3333333329999997</v>
      </c>
    </row>
  </sheetData>
  <mergeCells count="7">
    <mergeCell ref="J1:J2"/>
    <mergeCell ref="A1:A2"/>
    <mergeCell ref="B1:B2"/>
    <mergeCell ref="C1:C2"/>
    <mergeCell ref="D1:G1"/>
    <mergeCell ref="H1:H2"/>
    <mergeCell ref="I1:I2"/>
  </mergeCells>
  <pageMargins left="0.74999999999999989" right="0.74999999999999989" top="1.393700787401575" bottom="1.393700787401575" header="1" footer="1"/>
  <pageSetup paperSize="0" fitToWidth="0" fitToHeight="0" orientation="portrait" horizontalDpi="0" verticalDpi="0" copies="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9D7986-F969-4C20-B394-675E4DA4528D}">
  <dimension ref="A1"/>
  <sheetViews>
    <sheetView workbookViewId="0">
      <selection activeCell="U22" sqref="U22"/>
    </sheetView>
  </sheetViews>
  <sheetFormatPr defaultColWidth="8.77734375" defaultRowHeight="13.2" x14ac:dyDescent="0.25"/>
  <cols>
    <col min="1" max="24" width="8.77734375" customWidth="1"/>
  </cols>
  <sheetData>
    <row r="1" s="2" customFormat="1" ht="14.4" x14ac:dyDescent="0.3"/>
  </sheetData>
  <pageMargins left="0.74999999999999989" right="0.74999999999999989" top="1.393700787401575" bottom="1.393700787401575" header="1" footer="1"/>
  <pageSetup paperSize="0" fitToWidth="0" fitToHeight="0" orientation="portrait" horizontalDpi="0" verticalDpi="0" copies="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7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Данные</vt:lpstr>
      <vt:lpstr>Таблицы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Arina Grigoreva</cp:lastModifiedBy>
  <cp:revision>1</cp:revision>
  <dcterms:created xsi:type="dcterms:W3CDTF">2026-09-29T22:03:10Z</dcterms:created>
  <dcterms:modified xsi:type="dcterms:W3CDTF">2026-10-18T19:24:09Z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3.1</vt:lpwstr>
  </property>
</Properties>
</file>